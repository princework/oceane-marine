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QHSE/"/>
    </mc:Choice>
  </mc:AlternateContent>
  <xr:revisionPtr revIDLastSave="3" documentId="8_{EB881EEC-031A-4601-AC73-1C3BC61B8CD2}" xr6:coauthVersionLast="47" xr6:coauthVersionMax="47" xr10:uidLastSave="{5584AA1D-5746-4E65-BE66-BFB560907DD0}"/>
  <bookViews>
    <workbookView xWindow="0" yWindow="-16200" windowWidth="28905" windowHeight="16380" tabRatio="829" xr2:uid="{00000000-000D-0000-FFFF-FFFF00000000}"/>
  </bookViews>
  <sheets>
    <sheet name="Risk Assessment" sheetId="18" r:id="rId1"/>
    <sheet name="Matrix" sheetId="19" r:id="rId2"/>
  </sheets>
  <definedNames>
    <definedName name="_xlnm.Print_Area" localSheetId="0">'Risk Assessment'!$B$1:$M$64</definedName>
    <definedName name="_xlnm.Print_Titles" localSheetId="0">'Risk Assessment'!$7:$7</definedName>
    <definedName name="Score">'Risk Assessment'!$R$7:$S$18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8" l="1"/>
  <c r="L57" i="18"/>
  <c r="L56" i="18"/>
  <c r="L55" i="18"/>
  <c r="L5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H38" i="18"/>
  <c r="H39" i="18"/>
  <c r="H40" i="18"/>
  <c r="H41" i="18"/>
  <c r="H42" i="18"/>
  <c r="H43" i="18"/>
  <c r="H54" i="18"/>
  <c r="H55" i="18"/>
  <c r="H56" i="18"/>
  <c r="H57" i="18"/>
  <c r="H58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9" i="18"/>
  <c r="H8" i="18"/>
</calcChain>
</file>

<file path=xl/sharedStrings.xml><?xml version="1.0" encoding="utf-8"?>
<sst xmlns="http://schemas.openxmlformats.org/spreadsheetml/2006/main" count="69" uniqueCount="43">
  <si>
    <t xml:space="preserve">RISK ASSESSMENT  </t>
  </si>
  <si>
    <t>Location:</t>
  </si>
  <si>
    <t>Date of Assessment:</t>
  </si>
  <si>
    <t>Position:</t>
  </si>
  <si>
    <t>Assessed by:</t>
  </si>
  <si>
    <t>Contractors available:</t>
  </si>
  <si>
    <t>Approval:</t>
  </si>
  <si>
    <t>Area</t>
  </si>
  <si>
    <t>Critical Activity or Equipment</t>
  </si>
  <si>
    <t>Hazard/Risk</t>
  </si>
  <si>
    <t>Consequence</t>
  </si>
  <si>
    <t>Likelihood</t>
  </si>
  <si>
    <t>Risk</t>
  </si>
  <si>
    <t>Safeguards needed (or in place) to reduce risk to acceptable level</t>
  </si>
  <si>
    <t>Residual Risk after Safeguards</t>
  </si>
  <si>
    <t>Accept Risk (Y/N)</t>
  </si>
  <si>
    <t>Health, Safety, Security,
and Environment</t>
  </si>
  <si>
    <t>4-Major</t>
  </si>
  <si>
    <t>4-Possible</t>
  </si>
  <si>
    <t>2-Minor</t>
  </si>
  <si>
    <t>5-Rare</t>
  </si>
  <si>
    <t>No</t>
  </si>
  <si>
    <t>Environmental
Conditions</t>
  </si>
  <si>
    <t>Cargo
Operations</t>
  </si>
  <si>
    <t>STS
Operations
and
Equipment</t>
  </si>
  <si>
    <t>Communications</t>
  </si>
  <si>
    <t>Location</t>
  </si>
  <si>
    <t>Other</t>
  </si>
  <si>
    <t>Notes:</t>
  </si>
  <si>
    <t>Consequence / 
Likelihood</t>
  </si>
  <si>
    <t>1-Insignificant</t>
  </si>
  <si>
    <t>3-Moderate</t>
  </si>
  <si>
    <t>5-Catastrophic</t>
  </si>
  <si>
    <t>1-Frequent</t>
  </si>
  <si>
    <t>Moderate</t>
  </si>
  <si>
    <t>High</t>
  </si>
  <si>
    <t>Extreme</t>
  </si>
  <si>
    <t>2-Often</t>
  </si>
  <si>
    <t>3-Likely</t>
  </si>
  <si>
    <t>Low</t>
  </si>
  <si>
    <t>Low Risk</t>
  </si>
  <si>
    <t xml:space="preserve">Reverse Lightering </t>
  </si>
  <si>
    <t>Berthing vessels of similar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</si>
</sst>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name val="Calibri"/>
      <family val="2"/>
      <scheme val="minor"/>
    </font>
    <font>
      <b/>
      <sz val="2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vertic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4" xfId="1" applyBorder="1"/>
    <xf numFmtId="0" fontId="1" fillId="0" borderId="4" xfId="1" applyBorder="1" applyAlignment="1">
      <alignment vertical="center" wrapText="1"/>
    </xf>
    <xf numFmtId="0" fontId="1" fillId="0" borderId="4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8" xfId="1" applyBorder="1" applyAlignment="1">
      <alignment vertical="center" wrapText="1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left" vertical="center" wrapText="1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2" xfId="1" applyBorder="1" applyAlignment="1">
      <alignment horizontal="center" vertical="center" wrapText="1"/>
    </xf>
    <xf numFmtId="0" fontId="4" fillId="0" borderId="5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0" fontId="0" fillId="10" borderId="18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top" wrapText="1"/>
    </xf>
    <xf numFmtId="0" fontId="2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top" wrapText="1"/>
    </xf>
    <xf numFmtId="0" fontId="7" fillId="0" borderId="0" xfId="1" applyFont="1"/>
    <xf numFmtId="0" fontId="6" fillId="0" borderId="0" xfId="1" applyFont="1" applyAlignment="1">
      <alignment vertical="center" wrapText="1"/>
    </xf>
    <xf numFmtId="15" fontId="6" fillId="0" borderId="0" xfId="1" applyNumberFormat="1" applyFont="1" applyAlignment="1">
      <alignment horizontal="left" vertical="center" wrapText="1"/>
    </xf>
    <xf numFmtId="0" fontId="2" fillId="0" borderId="19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0" fontId="1" fillId="9" borderId="18" xfId="0" applyFont="1" applyFill="1" applyBorder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1" fillId="9" borderId="18" xfId="0" applyFont="1" applyFill="1" applyBorder="1" applyAlignment="1">
      <alignment vertical="center"/>
    </xf>
    <xf numFmtId="0" fontId="7" fillId="0" borderId="0" xfId="1" applyFont="1" applyAlignment="1">
      <alignment vertical="center" wrapText="1"/>
    </xf>
    <xf numFmtId="0" fontId="6" fillId="0" borderId="22" xfId="1" applyFont="1" applyBorder="1" applyAlignment="1">
      <alignment vertical="center" wrapText="1"/>
    </xf>
    <xf numFmtId="0" fontId="6" fillId="0" borderId="23" xfId="1" applyFont="1" applyBorder="1" applyAlignment="1">
      <alignment vertical="center" wrapText="1"/>
    </xf>
    <xf numFmtId="0" fontId="1" fillId="0" borderId="8" xfId="1" applyBorder="1" applyAlignment="1">
      <alignment horizontal="left" vertical="center" wrapText="1"/>
    </xf>
    <xf numFmtId="0" fontId="1" fillId="0" borderId="9" xfId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 wrapText="1"/>
    </xf>
    <xf numFmtId="0" fontId="8" fillId="5" borderId="13" xfId="1" applyFont="1" applyFill="1" applyBorder="1" applyAlignment="1">
      <alignment horizontal="center" vertical="center"/>
    </xf>
    <xf numFmtId="0" fontId="8" fillId="5" borderId="17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 wrapText="1"/>
    </xf>
    <xf numFmtId="0" fontId="8" fillId="7" borderId="13" xfId="1" applyFont="1" applyFill="1" applyBorder="1" applyAlignment="1">
      <alignment horizontal="center" vertical="center" wrapText="1"/>
    </xf>
    <xf numFmtId="0" fontId="8" fillId="7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8" borderId="12" xfId="1" applyFont="1" applyFill="1" applyBorder="1" applyAlignment="1">
      <alignment horizontal="center" vertical="center" wrapText="1"/>
    </xf>
    <xf numFmtId="0" fontId="8" fillId="8" borderId="13" xfId="1" applyFont="1" applyFill="1" applyBorder="1" applyAlignment="1">
      <alignment horizontal="center" vertical="center"/>
    </xf>
    <xf numFmtId="0" fontId="8" fillId="6" borderId="12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horizontal="center" vertical="center"/>
    </xf>
    <xf numFmtId="0" fontId="8" fillId="16" borderId="12" xfId="1" applyFont="1" applyFill="1" applyBorder="1" applyAlignment="1">
      <alignment horizontal="center" vertical="center" wrapText="1"/>
    </xf>
    <xf numFmtId="0" fontId="8" fillId="16" borderId="13" xfId="1" applyFont="1" applyFill="1" applyBorder="1" applyAlignment="1">
      <alignment horizontal="center" vertical="center" wrapText="1"/>
    </xf>
    <xf numFmtId="0" fontId="8" fillId="16" borderId="14" xfId="1" applyFont="1" applyFill="1" applyBorder="1" applyAlignment="1">
      <alignment horizontal="center" vertical="center" wrapText="1"/>
    </xf>
    <xf numFmtId="0" fontId="8" fillId="15" borderId="13" xfId="1" applyFont="1" applyFill="1" applyBorder="1" applyAlignment="1">
      <alignment horizontal="center" vertical="center"/>
    </xf>
    <xf numFmtId="0" fontId="8" fillId="15" borderId="14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right" vertical="center"/>
    </xf>
    <xf numFmtId="0" fontId="9" fillId="0" borderId="21" xfId="1" applyFont="1" applyBorder="1" applyAlignment="1">
      <alignment horizontal="right" vertical="center"/>
    </xf>
    <xf numFmtId="0" fontId="8" fillId="3" borderId="12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</cellXfs>
  <cellStyles count="2">
    <cellStyle name="Normal" xfId="0" builtinId="0"/>
    <cellStyle name="Normal_Risk Assessment Gas Bauhinia" xfId="1" xr:uid="{00000000-0005-0000-0000-000001000000}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34036</xdr:colOff>
      <xdr:row>0</xdr:row>
      <xdr:rowOff>30095</xdr:rowOff>
    </xdr:from>
    <xdr:to>
      <xdr:col>3</xdr:col>
      <xdr:colOff>57913</xdr:colOff>
      <xdr:row>0</xdr:row>
      <xdr:rowOff>766064</xdr:rowOff>
    </xdr:to>
    <xdr:pic>
      <xdr:nvPicPr>
        <xdr:cNvPr id="3" name="Picture 2" descr="A logo for a company&#10;&#10;Description automatically generated">
          <a:extLst>
            <a:ext uri="{FF2B5EF4-FFF2-40B4-BE49-F238E27FC236}">
              <a16:creationId xmlns:a16="http://schemas.microsoft.com/office/drawing/2014/main" id="{FA3DA33C-1C0F-5350-9E37-E5981BF77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430911" y="30095"/>
          <a:ext cx="1532002" cy="7359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S67"/>
  <sheetViews>
    <sheetView showGridLines="0" tabSelected="1" view="pageLayout" zoomScale="70" zoomScaleNormal="85" zoomScaleSheetLayoutView="80" zoomScalePageLayoutView="70" workbookViewId="0">
      <selection activeCell="E16" sqref="E15:E16"/>
    </sheetView>
  </sheetViews>
  <sheetFormatPr defaultColWidth="9.08984375" defaultRowHeight="12.5" x14ac:dyDescent="0.25"/>
  <cols>
    <col min="1" max="1" width="1.08984375" style="1" customWidth="1"/>
    <col min="2" max="2" width="4.453125" style="16" customWidth="1"/>
    <col min="3" max="3" width="21.54296875" style="1" customWidth="1"/>
    <col min="4" max="4" width="25.453125" style="2" customWidth="1"/>
    <col min="5" max="5" width="26.08984375" style="2" customWidth="1"/>
    <col min="6" max="6" width="13" style="3" customWidth="1"/>
    <col min="7" max="7" width="11.453125" style="3" customWidth="1"/>
    <col min="8" max="8" width="10.08984375" style="3" customWidth="1"/>
    <col min="9" max="9" width="31.08984375" style="2" customWidth="1"/>
    <col min="10" max="10" width="14.08984375" style="2" customWidth="1"/>
    <col min="11" max="11" width="12.453125" style="2" customWidth="1"/>
    <col min="12" max="12" width="18.54296875" style="2" customWidth="1"/>
    <col min="13" max="13" width="10" style="3" customWidth="1"/>
    <col min="14" max="14" width="34.90625" style="4" customWidth="1"/>
    <col min="15" max="16384" width="9.08984375" style="1"/>
  </cols>
  <sheetData>
    <row r="1" spans="2:19" ht="68" customHeight="1" thickBot="1" x14ac:dyDescent="0.55000000000000004">
      <c r="C1" s="38"/>
      <c r="D1" s="39"/>
      <c r="E1" s="74" t="s">
        <v>0</v>
      </c>
      <c r="F1" s="74"/>
      <c r="G1" s="74"/>
      <c r="H1" s="74"/>
      <c r="I1" s="74"/>
      <c r="J1" s="74"/>
      <c r="K1" s="74"/>
      <c r="L1" s="74"/>
      <c r="M1" s="75"/>
    </row>
    <row r="2" spans="2:19" ht="4.4000000000000004" customHeight="1" x14ac:dyDescent="0.5">
      <c r="C2" s="29"/>
      <c r="D2" s="30"/>
      <c r="E2" s="31"/>
      <c r="F2" s="31"/>
      <c r="G2" s="31"/>
      <c r="H2" s="31"/>
      <c r="I2" s="31"/>
      <c r="J2" s="31"/>
      <c r="K2" s="31"/>
      <c r="L2" s="31"/>
      <c r="M2" s="31"/>
    </row>
    <row r="3" spans="2:19" ht="14" customHeight="1" x14ac:dyDescent="0.3">
      <c r="C3" s="35" t="s">
        <v>1</v>
      </c>
      <c r="D3" s="44"/>
      <c r="E3" s="36"/>
      <c r="F3" s="79" t="s">
        <v>2</v>
      </c>
      <c r="G3" s="79"/>
      <c r="H3" s="80"/>
      <c r="I3" s="80"/>
      <c r="J3" s="37"/>
      <c r="K3" s="37"/>
      <c r="L3" s="37"/>
    </row>
    <row r="4" spans="2:19" ht="13" x14ac:dyDescent="0.3">
      <c r="C4" s="35" t="s">
        <v>3</v>
      </c>
      <c r="D4" s="45"/>
      <c r="E4" s="36"/>
      <c r="F4" s="43" t="s">
        <v>4</v>
      </c>
      <c r="G4" s="43"/>
      <c r="H4" s="81"/>
      <c r="I4" s="81"/>
      <c r="J4" s="36"/>
      <c r="K4" s="36"/>
      <c r="L4" s="36"/>
    </row>
    <row r="5" spans="2:19" ht="13" x14ac:dyDescent="0.3">
      <c r="C5" s="35" t="s">
        <v>5</v>
      </c>
      <c r="D5" s="45"/>
      <c r="E5" s="36"/>
      <c r="F5" s="43" t="s">
        <v>6</v>
      </c>
      <c r="G5" s="43"/>
      <c r="H5" s="81"/>
      <c r="I5" s="81"/>
      <c r="J5" s="36"/>
      <c r="K5" s="36"/>
      <c r="L5" s="36"/>
    </row>
    <row r="6" spans="2:19" ht="8.25" customHeight="1" thickBot="1" x14ac:dyDescent="0.3"/>
    <row r="7" spans="2:19" ht="26.5" thickBot="1" x14ac:dyDescent="0.3">
      <c r="C7" s="32" t="s">
        <v>7</v>
      </c>
      <c r="D7" s="33" t="s">
        <v>8</v>
      </c>
      <c r="E7" s="33" t="s">
        <v>9</v>
      </c>
      <c r="F7" s="33" t="s">
        <v>10</v>
      </c>
      <c r="G7" s="33" t="s">
        <v>11</v>
      </c>
      <c r="H7" s="33" t="s">
        <v>12</v>
      </c>
      <c r="I7" s="33" t="s">
        <v>13</v>
      </c>
      <c r="J7" s="33" t="s">
        <v>10</v>
      </c>
      <c r="K7" s="33" t="s">
        <v>11</v>
      </c>
      <c r="L7" s="33" t="s">
        <v>14</v>
      </c>
      <c r="M7" s="34" t="s">
        <v>15</v>
      </c>
      <c r="R7" s="5"/>
      <c r="S7" s="5"/>
    </row>
    <row r="8" spans="2:19" x14ac:dyDescent="0.25">
      <c r="B8" s="18">
        <v>1</v>
      </c>
      <c r="C8" s="60" t="s">
        <v>16</v>
      </c>
      <c r="D8" s="6"/>
      <c r="E8" s="6"/>
      <c r="F8" s="7" t="s">
        <v>17</v>
      </c>
      <c r="G8" s="7" t="s">
        <v>18</v>
      </c>
      <c r="H8" s="20" t="str">
        <f>IF(OR(F8="",G8=""),"",INDEX(Matrix!$C$5:$H$10,MATCH('Risk Assessment'!G8,Matrix!$C$5:$C$10,0),MATCH('Risk Assessment'!F8,Matrix!$C$5:$H$5,0)))</f>
        <v>High</v>
      </c>
      <c r="I8" s="21"/>
      <c r="J8" s="7" t="s">
        <v>19</v>
      </c>
      <c r="K8" s="7" t="s">
        <v>20</v>
      </c>
      <c r="L8" s="20" t="str">
        <f>IF(OR(J8="",K8=""),"",INDEX(Matrix!$C$5:$H$10,MATCH('Risk Assessment'!K8,Matrix!$C$5:$C$10,0),MATCH('Risk Assessment'!J8,Matrix!$C$5:$H$5,0)))</f>
        <v>Low</v>
      </c>
      <c r="M8" s="8" t="s">
        <v>21</v>
      </c>
      <c r="R8" s="5"/>
      <c r="S8" s="5"/>
    </row>
    <row r="9" spans="2:19" x14ac:dyDescent="0.25">
      <c r="B9" s="19">
        <v>2</v>
      </c>
      <c r="C9" s="61"/>
      <c r="D9" s="10"/>
      <c r="E9" s="10"/>
      <c r="F9" s="11"/>
      <c r="G9" s="11"/>
      <c r="H9" s="11" t="str">
        <f>IF(OR(F9="",G9=""),"",INDEX(Matrix!$C$5:$H$10,MATCH('Risk Assessment'!G9,Matrix!$C$5:$C$10,0),MATCH('Risk Assessment'!F9,Matrix!$C$5:$H$5,0)))</f>
        <v/>
      </c>
      <c r="I9" s="22"/>
      <c r="J9" s="11"/>
      <c r="K9" s="11"/>
      <c r="L9" s="11" t="str">
        <f>IF(OR(J9="",K9=""),"",INDEX(Matrix!$C$5:$H$10,MATCH('Risk Assessment'!K9,Matrix!$C$5:$C$10,0),MATCH('Risk Assessment'!J9,Matrix!$C$5:$H$5,0)))</f>
        <v/>
      </c>
      <c r="M9" s="12"/>
      <c r="R9" s="5"/>
      <c r="S9" s="5"/>
    </row>
    <row r="10" spans="2:19" x14ac:dyDescent="0.25">
      <c r="B10" s="19">
        <v>3</v>
      </c>
      <c r="C10" s="61"/>
      <c r="D10" s="10"/>
      <c r="E10" s="10"/>
      <c r="F10" s="11"/>
      <c r="G10" s="11"/>
      <c r="H10" s="11" t="str">
        <f>IF(OR(F10="",G10=""),"",INDEX(Matrix!$C$5:$H$10,MATCH('Risk Assessment'!G10,Matrix!$C$5:$C$10,0),MATCH('Risk Assessment'!F10,Matrix!$C$5:$H$5,0)))</f>
        <v/>
      </c>
      <c r="I10" s="22"/>
      <c r="J10" s="11"/>
      <c r="K10" s="11"/>
      <c r="L10" s="11" t="str">
        <f>IF(OR(J10="",K10=""),"",INDEX(Matrix!$C$5:$H$10,MATCH('Risk Assessment'!K10,Matrix!$C$5:$C$10,0),MATCH('Risk Assessment'!J10,Matrix!$C$5:$H$5,0)))</f>
        <v/>
      </c>
      <c r="M10" s="12"/>
      <c r="R10" s="5"/>
      <c r="S10" s="5"/>
    </row>
    <row r="11" spans="2:19" x14ac:dyDescent="0.25">
      <c r="B11" s="19">
        <v>4</v>
      </c>
      <c r="C11" s="61"/>
      <c r="D11" s="10"/>
      <c r="E11" s="10"/>
      <c r="F11" s="11"/>
      <c r="G11" s="11"/>
      <c r="H11" s="11" t="str">
        <f>IF(OR(F11="",G11=""),"",INDEX(Matrix!$C$5:$H$10,MATCH('Risk Assessment'!G11,Matrix!$C$5:$C$10,0),MATCH('Risk Assessment'!F11,Matrix!$C$5:$H$5,0)))</f>
        <v/>
      </c>
      <c r="I11" s="22"/>
      <c r="J11" s="11"/>
      <c r="K11" s="11"/>
      <c r="L11" s="11" t="str">
        <f>IF(OR(J11="",K11=""),"",INDEX(Matrix!$C$5:$H$10,MATCH('Risk Assessment'!K11,Matrix!$C$5:$C$10,0),MATCH('Risk Assessment'!J11,Matrix!$C$5:$H$5,0)))</f>
        <v/>
      </c>
      <c r="M11" s="12"/>
      <c r="R11" s="5"/>
      <c r="S11" s="5"/>
    </row>
    <row r="12" spans="2:19" x14ac:dyDescent="0.25">
      <c r="B12" s="19">
        <v>5</v>
      </c>
      <c r="C12" s="61"/>
      <c r="D12" s="10"/>
      <c r="E12" s="10"/>
      <c r="F12" s="11"/>
      <c r="G12" s="11"/>
      <c r="H12" s="11" t="str">
        <f>IF(OR(F12="",G12=""),"",INDEX(Matrix!$C$5:$H$10,MATCH('Risk Assessment'!G12,Matrix!$C$5:$C$10,0),MATCH('Risk Assessment'!F12,Matrix!$C$5:$H$5,0)))</f>
        <v/>
      </c>
      <c r="I12" s="22"/>
      <c r="J12" s="11"/>
      <c r="K12" s="11"/>
      <c r="L12" s="11" t="str">
        <f>IF(OR(J12="",K12=""),"",INDEX(Matrix!$C$5:$H$10,MATCH('Risk Assessment'!K12,Matrix!$C$5:$C$10,0),MATCH('Risk Assessment'!J12,Matrix!$C$5:$H$5,0)))</f>
        <v/>
      </c>
      <c r="M12" s="12"/>
      <c r="R12" s="5"/>
      <c r="S12" s="5"/>
    </row>
    <row r="13" spans="2:19" x14ac:dyDescent="0.25">
      <c r="B13" s="19">
        <v>6</v>
      </c>
      <c r="C13" s="61"/>
      <c r="D13" s="10"/>
      <c r="E13" s="10"/>
      <c r="F13" s="11"/>
      <c r="G13" s="11"/>
      <c r="H13" s="11" t="str">
        <f>IF(OR(F13="",G13=""),"",INDEX(Matrix!$C$5:$H$10,MATCH('Risk Assessment'!G13,Matrix!$C$5:$C$10,0),MATCH('Risk Assessment'!F13,Matrix!$C$5:$H$5,0)))</f>
        <v/>
      </c>
      <c r="I13" s="22"/>
      <c r="J13" s="11"/>
      <c r="K13" s="11"/>
      <c r="L13" s="11" t="str">
        <f>IF(OR(J13="",K13=""),"",INDEX(Matrix!$C$5:$H$10,MATCH('Risk Assessment'!K13,Matrix!$C$5:$C$10,0),MATCH('Risk Assessment'!J13,Matrix!$C$5:$H$5,0)))</f>
        <v/>
      </c>
      <c r="M13" s="12"/>
      <c r="R13" s="5"/>
      <c r="S13" s="5"/>
    </row>
    <row r="14" spans="2:19" x14ac:dyDescent="0.25">
      <c r="B14" s="19">
        <v>7</v>
      </c>
      <c r="C14" s="61"/>
      <c r="D14" s="10"/>
      <c r="E14" s="10"/>
      <c r="F14" s="11"/>
      <c r="G14" s="11"/>
      <c r="H14" s="11" t="str">
        <f>IF(OR(F14="",G14=""),"",INDEX(Matrix!$C$5:$H$10,MATCH('Risk Assessment'!G14,Matrix!$C$5:$C$10,0),MATCH('Risk Assessment'!F14,Matrix!$C$5:$H$5,0)))</f>
        <v/>
      </c>
      <c r="I14" s="22"/>
      <c r="J14" s="11"/>
      <c r="K14" s="11"/>
      <c r="L14" s="11" t="str">
        <f>IF(OR(J14="",K14=""),"",INDEX(Matrix!$C$5:$H$10,MATCH('Risk Assessment'!K14,Matrix!$C$5:$C$10,0),MATCH('Risk Assessment'!J14,Matrix!$C$5:$H$5,0)))</f>
        <v/>
      </c>
      <c r="M14" s="12"/>
      <c r="R14" s="5"/>
      <c r="S14" s="5"/>
    </row>
    <row r="15" spans="2:19" x14ac:dyDescent="0.25">
      <c r="B15" s="19">
        <v>8</v>
      </c>
      <c r="C15" s="61"/>
      <c r="D15" s="10"/>
      <c r="E15" s="10"/>
      <c r="F15" s="11"/>
      <c r="G15" s="11"/>
      <c r="H15" s="11" t="str">
        <f>IF(OR(F15="",G15=""),"",INDEX(Matrix!$C$5:$H$10,MATCH('Risk Assessment'!G15,Matrix!$C$5:$C$10,0),MATCH('Risk Assessment'!F15,Matrix!$C$5:$H$5,0)))</f>
        <v/>
      </c>
      <c r="I15" s="22"/>
      <c r="J15" s="11"/>
      <c r="K15" s="11"/>
      <c r="L15" s="11" t="str">
        <f>IF(OR(J15="",K15=""),"",INDEX(Matrix!$C$5:$H$10,MATCH('Risk Assessment'!K15,Matrix!$C$5:$C$10,0),MATCH('Risk Assessment'!J15,Matrix!$C$5:$H$5,0)))</f>
        <v/>
      </c>
      <c r="M15" s="12"/>
      <c r="R15" s="5"/>
      <c r="S15" s="5"/>
    </row>
    <row r="16" spans="2:19" x14ac:dyDescent="0.25">
      <c r="B16" s="19">
        <v>9</v>
      </c>
      <c r="C16" s="62"/>
      <c r="D16" s="10"/>
      <c r="E16" s="10"/>
      <c r="F16" s="11"/>
      <c r="G16" s="11"/>
      <c r="H16" s="11" t="str">
        <f>IF(OR(F16="",G16=""),"",INDEX(Matrix!$C$5:$H$10,MATCH('Risk Assessment'!G16,Matrix!$C$5:$C$10,0),MATCH('Risk Assessment'!F16,Matrix!$C$5:$H$5,0)))</f>
        <v/>
      </c>
      <c r="I16" s="22"/>
      <c r="J16" s="11"/>
      <c r="K16" s="11"/>
      <c r="L16" s="11" t="str">
        <f>IF(OR(J16="",K16=""),"",INDEX(Matrix!$C$5:$H$10,MATCH('Risk Assessment'!K16,Matrix!$C$5:$C$10,0),MATCH('Risk Assessment'!J16,Matrix!$C$5:$H$5,0)))</f>
        <v/>
      </c>
      <c r="M16" s="12"/>
      <c r="R16" s="5"/>
      <c r="S16" s="5"/>
    </row>
    <row r="17" spans="2:19" x14ac:dyDescent="0.25">
      <c r="B17" s="19">
        <v>10</v>
      </c>
      <c r="C17" s="63" t="s">
        <v>22</v>
      </c>
      <c r="D17" s="10"/>
      <c r="E17" s="10"/>
      <c r="F17" s="11"/>
      <c r="G17" s="11"/>
      <c r="H17" s="11" t="str">
        <f>IF(OR(F17="",G17=""),"",INDEX(Matrix!$C$5:$H$10,MATCH('Risk Assessment'!G17,Matrix!$C$5:$C$10,0),MATCH('Risk Assessment'!F17,Matrix!$C$5:$H$5,0)))</f>
        <v/>
      </c>
      <c r="I17" s="22"/>
      <c r="J17" s="11"/>
      <c r="K17" s="11"/>
      <c r="L17" s="11" t="str">
        <f>IF(OR(J17="",K17=""),"",INDEX(Matrix!$C$5:$H$10,MATCH('Risk Assessment'!K17,Matrix!$C$5:$C$10,0),MATCH('Risk Assessment'!J17,Matrix!$C$5:$H$5,0)))</f>
        <v/>
      </c>
      <c r="M17" s="12"/>
      <c r="R17" s="5"/>
      <c r="S17" s="5"/>
    </row>
    <row r="18" spans="2:19" x14ac:dyDescent="0.25">
      <c r="B18" s="19">
        <v>11</v>
      </c>
      <c r="C18" s="64"/>
      <c r="D18" s="10"/>
      <c r="E18" s="10"/>
      <c r="F18" s="11"/>
      <c r="G18" s="11"/>
      <c r="H18" s="11" t="str">
        <f>IF(OR(F18="",G18=""),"",INDEX(Matrix!$C$5:$H$10,MATCH('Risk Assessment'!G18,Matrix!$C$5:$C$10,0),MATCH('Risk Assessment'!F18,Matrix!$C$5:$H$5,0)))</f>
        <v/>
      </c>
      <c r="I18" s="22"/>
      <c r="J18" s="11"/>
      <c r="K18" s="11"/>
      <c r="L18" s="11" t="str">
        <f>IF(OR(J18="",K18=""),"",INDEX(Matrix!$C$5:$H$10,MATCH('Risk Assessment'!K18,Matrix!$C$5:$C$10,0),MATCH('Risk Assessment'!J18,Matrix!$C$5:$H$5,0)))</f>
        <v/>
      </c>
      <c r="M18" s="12"/>
      <c r="R18" s="5"/>
      <c r="S18" s="5"/>
    </row>
    <row r="19" spans="2:19" x14ac:dyDescent="0.25">
      <c r="B19" s="19">
        <v>12</v>
      </c>
      <c r="C19" s="64"/>
      <c r="D19" s="10"/>
      <c r="E19" s="10"/>
      <c r="F19" s="11"/>
      <c r="G19" s="11"/>
      <c r="H19" s="11" t="str">
        <f>IF(OR(F19="",G19=""),"",INDEX(Matrix!$C$5:$H$10,MATCH('Risk Assessment'!G19,Matrix!$C$5:$C$10,0),MATCH('Risk Assessment'!F19,Matrix!$C$5:$H$5,0)))</f>
        <v/>
      </c>
      <c r="I19" s="22"/>
      <c r="J19" s="11"/>
      <c r="K19" s="11"/>
      <c r="L19" s="11" t="str">
        <f>IF(OR(J19="",K19=""),"",INDEX(Matrix!$C$5:$H$10,MATCH('Risk Assessment'!K19,Matrix!$C$5:$C$10,0),MATCH('Risk Assessment'!J19,Matrix!$C$5:$H$5,0)))</f>
        <v/>
      </c>
      <c r="M19" s="12"/>
    </row>
    <row r="20" spans="2:19" x14ac:dyDescent="0.25">
      <c r="B20" s="19">
        <v>13</v>
      </c>
      <c r="C20" s="64"/>
      <c r="D20" s="10"/>
      <c r="E20" s="10"/>
      <c r="F20" s="11"/>
      <c r="G20" s="11"/>
      <c r="H20" s="11" t="str">
        <f>IF(OR(F20="",G20=""),"",INDEX(Matrix!$C$5:$H$10,MATCH('Risk Assessment'!G20,Matrix!$C$5:$C$10,0),MATCH('Risk Assessment'!F20,Matrix!$C$5:$H$5,0)))</f>
        <v/>
      </c>
      <c r="I20" s="22"/>
      <c r="J20" s="11"/>
      <c r="K20" s="11"/>
      <c r="L20" s="11" t="str">
        <f>IF(OR(J20="",K20=""),"",INDEX(Matrix!$C$5:$H$10,MATCH('Risk Assessment'!K20,Matrix!$C$5:$C$10,0),MATCH('Risk Assessment'!J20,Matrix!$C$5:$H$5,0)))</f>
        <v/>
      </c>
      <c r="M20" s="12"/>
    </row>
    <row r="21" spans="2:19" x14ac:dyDescent="0.25">
      <c r="B21" s="19">
        <v>14</v>
      </c>
      <c r="C21" s="64"/>
      <c r="D21" s="10"/>
      <c r="E21" s="10"/>
      <c r="F21" s="11"/>
      <c r="G21" s="11"/>
      <c r="H21" s="11" t="str">
        <f>IF(OR(F21="",G21=""),"",INDEX(Matrix!$C$5:$H$10,MATCH('Risk Assessment'!G21,Matrix!$C$5:$C$10,0),MATCH('Risk Assessment'!F21,Matrix!$C$5:$H$5,0)))</f>
        <v/>
      </c>
      <c r="I21" s="22"/>
      <c r="J21" s="11"/>
      <c r="K21" s="11"/>
      <c r="L21" s="11" t="str">
        <f>IF(OR(J21="",K21=""),"",INDEX(Matrix!$C$5:$H$10,MATCH('Risk Assessment'!K21,Matrix!$C$5:$C$10,0),MATCH('Risk Assessment'!J21,Matrix!$C$5:$H$5,0)))</f>
        <v/>
      </c>
      <c r="M21" s="12"/>
    </row>
    <row r="22" spans="2:19" x14ac:dyDescent="0.25">
      <c r="B22" s="19">
        <v>15</v>
      </c>
      <c r="C22" s="64"/>
      <c r="D22" s="10"/>
      <c r="E22" s="10"/>
      <c r="F22" s="11"/>
      <c r="G22" s="11"/>
      <c r="H22" s="11" t="str">
        <f>IF(OR(F22="",G22=""),"",INDEX(Matrix!$C$5:$H$10,MATCH('Risk Assessment'!G22,Matrix!$C$5:$C$10,0),MATCH('Risk Assessment'!F22,Matrix!$C$5:$H$5,0)))</f>
        <v/>
      </c>
      <c r="I22" s="22"/>
      <c r="J22" s="11"/>
      <c r="K22" s="11"/>
      <c r="L22" s="11" t="str">
        <f>IF(OR(J22="",K22=""),"",INDEX(Matrix!$C$5:$H$10,MATCH('Risk Assessment'!K22,Matrix!$C$5:$C$10,0),MATCH('Risk Assessment'!J22,Matrix!$C$5:$H$5,0)))</f>
        <v/>
      </c>
      <c r="M22" s="12"/>
    </row>
    <row r="23" spans="2:19" x14ac:dyDescent="0.25">
      <c r="B23" s="19">
        <v>16</v>
      </c>
      <c r="C23" s="64"/>
      <c r="D23" s="10"/>
      <c r="E23" s="10"/>
      <c r="F23" s="11"/>
      <c r="G23" s="11"/>
      <c r="H23" s="11" t="str">
        <f>IF(OR(F23="",G23=""),"",INDEX(Matrix!$C$5:$H$10,MATCH('Risk Assessment'!G23,Matrix!$C$5:$C$10,0),MATCH('Risk Assessment'!F23,Matrix!$C$5:$H$5,0)))</f>
        <v/>
      </c>
      <c r="I23" s="22"/>
      <c r="J23" s="11"/>
      <c r="K23" s="11"/>
      <c r="L23" s="11" t="str">
        <f>IF(OR(J23="",K23=""),"",INDEX(Matrix!$C$5:$H$10,MATCH('Risk Assessment'!K23,Matrix!$C$5:$C$10,0),MATCH('Risk Assessment'!J23,Matrix!$C$5:$H$5,0)))</f>
        <v/>
      </c>
      <c r="M23" s="12"/>
    </row>
    <row r="24" spans="2:19" x14ac:dyDescent="0.25">
      <c r="B24" s="19">
        <v>17</v>
      </c>
      <c r="C24" s="64"/>
      <c r="D24" s="10"/>
      <c r="E24" s="10"/>
      <c r="F24" s="11"/>
      <c r="G24" s="11"/>
      <c r="H24" s="11" t="str">
        <f>IF(OR(F24="",G24=""),"",INDEX(Matrix!$C$5:$H$10,MATCH('Risk Assessment'!G24,Matrix!$C$5:$C$10,0),MATCH('Risk Assessment'!F24,Matrix!$C$5:$H$5,0)))</f>
        <v/>
      </c>
      <c r="I24" s="22"/>
      <c r="J24" s="11"/>
      <c r="K24" s="11"/>
      <c r="L24" s="11" t="str">
        <f>IF(OR(J24="",K24=""),"",INDEX(Matrix!$C$5:$H$10,MATCH('Risk Assessment'!K24,Matrix!$C$5:$C$10,0),MATCH('Risk Assessment'!J24,Matrix!$C$5:$H$5,0)))</f>
        <v/>
      </c>
      <c r="M24" s="12"/>
    </row>
    <row r="25" spans="2:19" x14ac:dyDescent="0.25">
      <c r="B25" s="19">
        <v>18</v>
      </c>
      <c r="C25" s="65" t="s">
        <v>23</v>
      </c>
      <c r="D25" s="10"/>
      <c r="E25" s="10"/>
      <c r="F25" s="11"/>
      <c r="G25" s="11"/>
      <c r="H25" s="11" t="str">
        <f>IF(OR(F25="",G25=""),"",INDEX(Matrix!$C$5:$H$10,MATCH('Risk Assessment'!G25,Matrix!$C$5:$C$10,0),MATCH('Risk Assessment'!F25,Matrix!$C$5:$H$5,0)))</f>
        <v/>
      </c>
      <c r="I25" s="22"/>
      <c r="J25" s="11"/>
      <c r="K25" s="11"/>
      <c r="L25" s="11" t="str">
        <f>IF(OR(J25="",K25=""),"",INDEX(Matrix!$C$5:$H$10,MATCH('Risk Assessment'!K25,Matrix!$C$5:$C$10,0),MATCH('Risk Assessment'!J25,Matrix!$C$5:$H$5,0)))</f>
        <v/>
      </c>
      <c r="M25" s="12"/>
    </row>
    <row r="26" spans="2:19" x14ac:dyDescent="0.25">
      <c r="B26" s="19">
        <v>19</v>
      </c>
      <c r="C26" s="66"/>
      <c r="D26" s="10"/>
      <c r="E26" s="10"/>
      <c r="F26" s="11"/>
      <c r="G26" s="11"/>
      <c r="H26" s="11" t="str">
        <f>IF(OR(F26="",G26=""),"",INDEX(Matrix!$C$5:$H$10,MATCH('Risk Assessment'!G26,Matrix!$C$5:$C$10,0),MATCH('Risk Assessment'!F26,Matrix!$C$5:$H$5,0)))</f>
        <v/>
      </c>
      <c r="I26" s="22"/>
      <c r="J26" s="11"/>
      <c r="K26" s="11"/>
      <c r="L26" s="11" t="str">
        <f>IF(OR(J26="",K26=""),"",INDEX(Matrix!$C$5:$H$10,MATCH('Risk Assessment'!K26,Matrix!$C$5:$C$10,0),MATCH('Risk Assessment'!J26,Matrix!$C$5:$H$5,0)))</f>
        <v/>
      </c>
      <c r="M26" s="12"/>
    </row>
    <row r="27" spans="2:19" x14ac:dyDescent="0.25">
      <c r="B27" s="19">
        <v>20</v>
      </c>
      <c r="C27" s="66"/>
      <c r="D27" s="10"/>
      <c r="E27" s="10"/>
      <c r="F27" s="11"/>
      <c r="G27" s="11"/>
      <c r="H27" s="11" t="str">
        <f>IF(OR(F27="",G27=""),"",INDEX(Matrix!$C$5:$H$10,MATCH('Risk Assessment'!G27,Matrix!$C$5:$C$10,0),MATCH('Risk Assessment'!F27,Matrix!$C$5:$H$5,0)))</f>
        <v/>
      </c>
      <c r="I27" s="22"/>
      <c r="J27" s="11"/>
      <c r="K27" s="11"/>
      <c r="L27" s="11" t="str">
        <f>IF(OR(J27="",K27=""),"",INDEX(Matrix!$C$5:$H$10,MATCH('Risk Assessment'!K27,Matrix!$C$5:$C$10,0),MATCH('Risk Assessment'!J27,Matrix!$C$5:$H$5,0)))</f>
        <v/>
      </c>
      <c r="M27" s="12"/>
    </row>
    <row r="28" spans="2:19" x14ac:dyDescent="0.25">
      <c r="B28" s="19">
        <v>21</v>
      </c>
      <c r="C28" s="66"/>
      <c r="D28" s="10"/>
      <c r="E28" s="10"/>
      <c r="F28" s="11"/>
      <c r="G28" s="11"/>
      <c r="H28" s="11" t="str">
        <f>IF(OR(F28="",G28=""),"",INDEX(Matrix!$C$5:$H$10,MATCH('Risk Assessment'!G28,Matrix!$C$5:$C$10,0),MATCH('Risk Assessment'!F28,Matrix!$C$5:$H$5,0)))</f>
        <v/>
      </c>
      <c r="I28" s="22"/>
      <c r="J28" s="11"/>
      <c r="K28" s="11"/>
      <c r="L28" s="11" t="str">
        <f>IF(OR(J28="",K28=""),"",INDEX(Matrix!$C$5:$H$10,MATCH('Risk Assessment'!K28,Matrix!$C$5:$C$10,0),MATCH('Risk Assessment'!J28,Matrix!$C$5:$H$5,0)))</f>
        <v/>
      </c>
      <c r="M28" s="12"/>
    </row>
    <row r="29" spans="2:19" x14ac:dyDescent="0.25">
      <c r="B29" s="19">
        <v>22</v>
      </c>
      <c r="C29" s="76" t="s">
        <v>24</v>
      </c>
      <c r="D29" s="10"/>
      <c r="E29" s="10"/>
      <c r="F29" s="11"/>
      <c r="G29" s="11"/>
      <c r="H29" s="11" t="str">
        <f>IF(OR(F29="",G29=""),"",INDEX(Matrix!$C$5:$H$10,MATCH('Risk Assessment'!G29,Matrix!$C$5:$C$10,0),MATCH('Risk Assessment'!F29,Matrix!$C$5:$H$5,0)))</f>
        <v/>
      </c>
      <c r="I29" s="22"/>
      <c r="J29" s="11"/>
      <c r="K29" s="11"/>
      <c r="L29" s="11" t="str">
        <f>IF(OR(J29="",K29=""),"",INDEX(Matrix!$C$5:$H$10,MATCH('Risk Assessment'!K29,Matrix!$C$5:$C$10,0),MATCH('Risk Assessment'!J29,Matrix!$C$5:$H$5,0)))</f>
        <v/>
      </c>
      <c r="M29" s="12"/>
    </row>
    <row r="30" spans="2:19" x14ac:dyDescent="0.25">
      <c r="B30" s="19">
        <v>23</v>
      </c>
      <c r="C30" s="77"/>
      <c r="D30" s="10"/>
      <c r="E30" s="10"/>
      <c r="F30" s="11"/>
      <c r="G30" s="11"/>
      <c r="H30" s="11" t="str">
        <f>IF(OR(F30="",G30=""),"",INDEX(Matrix!$C$5:$H$10,MATCH('Risk Assessment'!G30,Matrix!$C$5:$C$10,0),MATCH('Risk Assessment'!F30,Matrix!$C$5:$H$5,0)))</f>
        <v/>
      </c>
      <c r="I30" s="22"/>
      <c r="J30" s="11"/>
      <c r="K30" s="11"/>
      <c r="L30" s="11" t="str">
        <f>IF(OR(J30="",K30=""),"",INDEX(Matrix!$C$5:$H$10,MATCH('Risk Assessment'!K30,Matrix!$C$5:$C$10,0),MATCH('Risk Assessment'!J30,Matrix!$C$5:$H$5,0)))</f>
        <v/>
      </c>
      <c r="M30" s="12"/>
    </row>
    <row r="31" spans="2:19" x14ac:dyDescent="0.25">
      <c r="B31" s="19">
        <v>24</v>
      </c>
      <c r="C31" s="77"/>
      <c r="D31" s="10"/>
      <c r="E31" s="10"/>
      <c r="F31" s="11"/>
      <c r="G31" s="11"/>
      <c r="H31" s="11" t="str">
        <f>IF(OR(F31="",G31=""),"",INDEX(Matrix!$C$5:$H$10,MATCH('Risk Assessment'!G31,Matrix!$C$5:$C$10,0),MATCH('Risk Assessment'!F31,Matrix!$C$5:$H$5,0)))</f>
        <v/>
      </c>
      <c r="I31" s="22"/>
      <c r="J31" s="11"/>
      <c r="K31" s="11"/>
      <c r="L31" s="11" t="str">
        <f>IF(OR(J31="",K31=""),"",INDEX(Matrix!$C$5:$H$10,MATCH('Risk Assessment'!K31,Matrix!$C$5:$C$10,0),MATCH('Risk Assessment'!J31,Matrix!$C$5:$H$5,0)))</f>
        <v/>
      </c>
      <c r="M31" s="12"/>
    </row>
    <row r="32" spans="2:19" x14ac:dyDescent="0.25">
      <c r="B32" s="19">
        <v>25</v>
      </c>
      <c r="C32" s="77"/>
      <c r="D32" s="10"/>
      <c r="E32" s="10"/>
      <c r="F32" s="11"/>
      <c r="G32" s="11"/>
      <c r="H32" s="11" t="str">
        <f>IF(OR(F32="",G32=""),"",INDEX(Matrix!$C$5:$H$10,MATCH('Risk Assessment'!G32,Matrix!$C$5:$C$10,0),MATCH('Risk Assessment'!F32,Matrix!$C$5:$H$5,0)))</f>
        <v/>
      </c>
      <c r="I32" s="22"/>
      <c r="J32" s="11"/>
      <c r="K32" s="11"/>
      <c r="L32" s="11" t="str">
        <f>IF(OR(J32="",K32=""),"",INDEX(Matrix!$C$5:$H$10,MATCH('Risk Assessment'!K32,Matrix!$C$5:$C$10,0),MATCH('Risk Assessment'!J32,Matrix!$C$5:$H$5,0)))</f>
        <v/>
      </c>
      <c r="M32" s="12"/>
    </row>
    <row r="33" spans="2:13" x14ac:dyDescent="0.25">
      <c r="B33" s="19">
        <v>26</v>
      </c>
      <c r="C33" s="77"/>
      <c r="D33" s="10"/>
      <c r="E33" s="10"/>
      <c r="F33" s="11"/>
      <c r="G33" s="11"/>
      <c r="H33" s="11" t="str">
        <f>IF(OR(F33="",G33=""),"",INDEX(Matrix!$C$5:$H$10,MATCH('Risk Assessment'!G33,Matrix!$C$5:$C$10,0),MATCH('Risk Assessment'!F33,Matrix!$C$5:$H$5,0)))</f>
        <v/>
      </c>
      <c r="I33" s="22"/>
      <c r="J33" s="11"/>
      <c r="K33" s="11"/>
      <c r="L33" s="11" t="str">
        <f>IF(OR(J33="",K33=""),"",INDEX(Matrix!$C$5:$H$10,MATCH('Risk Assessment'!K33,Matrix!$C$5:$C$10,0),MATCH('Risk Assessment'!J33,Matrix!$C$5:$H$5,0)))</f>
        <v/>
      </c>
      <c r="M33" s="12"/>
    </row>
    <row r="34" spans="2:13" x14ac:dyDescent="0.25">
      <c r="B34" s="19">
        <v>27</v>
      </c>
      <c r="C34" s="77"/>
      <c r="D34" s="9"/>
      <c r="E34" s="10"/>
      <c r="F34" s="11"/>
      <c r="G34" s="11"/>
      <c r="H34" s="11" t="str">
        <f>IF(OR(F34="",G34=""),"",INDEX(Matrix!$C$5:$H$10,MATCH('Risk Assessment'!G34,Matrix!$C$5:$C$10,0),MATCH('Risk Assessment'!F34,Matrix!$C$5:$H$5,0)))</f>
        <v/>
      </c>
      <c r="I34" s="22"/>
      <c r="J34" s="11"/>
      <c r="K34" s="11"/>
      <c r="L34" s="11" t="str">
        <f>IF(OR(J34="",K34=""),"",INDEX(Matrix!$C$5:$H$10,MATCH('Risk Assessment'!K34,Matrix!$C$5:$C$10,0),MATCH('Risk Assessment'!J34,Matrix!$C$5:$H$5,0)))</f>
        <v/>
      </c>
      <c r="M34" s="12"/>
    </row>
    <row r="35" spans="2:13" x14ac:dyDescent="0.25">
      <c r="B35" s="19">
        <v>28</v>
      </c>
      <c r="C35" s="77"/>
      <c r="D35" s="10"/>
      <c r="E35" s="10"/>
      <c r="F35" s="11"/>
      <c r="G35" s="11"/>
      <c r="H35" s="11" t="str">
        <f>IF(OR(F35="",G35=""),"",INDEX(Matrix!$C$5:$H$10,MATCH('Risk Assessment'!G35,Matrix!$C$5:$C$10,0),MATCH('Risk Assessment'!F35,Matrix!$C$5:$H$5,0)))</f>
        <v/>
      </c>
      <c r="I35" s="22"/>
      <c r="J35" s="11"/>
      <c r="K35" s="11"/>
      <c r="L35" s="11" t="str">
        <f>IF(OR(J35="",K35=""),"",INDEX(Matrix!$C$5:$H$10,MATCH('Risk Assessment'!K35,Matrix!$C$5:$C$10,0),MATCH('Risk Assessment'!J35,Matrix!$C$5:$H$5,0)))</f>
        <v/>
      </c>
      <c r="M35" s="12"/>
    </row>
    <row r="36" spans="2:13" x14ac:dyDescent="0.25">
      <c r="B36" s="19">
        <v>29</v>
      </c>
      <c r="C36" s="78"/>
      <c r="D36" s="10"/>
      <c r="E36" s="10"/>
      <c r="F36" s="11"/>
      <c r="G36" s="11"/>
      <c r="H36" s="11" t="str">
        <f>IF(OR(F36="",G36=""),"",INDEX(Matrix!$C$5:$H$10,MATCH('Risk Assessment'!G36,Matrix!$C$5:$C$10,0),MATCH('Risk Assessment'!F36,Matrix!$C$5:$H$5,0)))</f>
        <v/>
      </c>
      <c r="I36" s="22"/>
      <c r="J36" s="11"/>
      <c r="K36" s="11"/>
      <c r="L36" s="11" t="str">
        <f>IF(OR(J36="",K36=""),"",INDEX(Matrix!$C$5:$H$10,MATCH('Risk Assessment'!K36,Matrix!$C$5:$C$10,0),MATCH('Risk Assessment'!J36,Matrix!$C$5:$H$5,0)))</f>
        <v/>
      </c>
      <c r="M36" s="12"/>
    </row>
    <row r="37" spans="2:13" x14ac:dyDescent="0.25">
      <c r="B37" s="19">
        <v>30</v>
      </c>
      <c r="C37" s="55" t="s">
        <v>25</v>
      </c>
      <c r="D37" s="10"/>
      <c r="E37" s="10"/>
      <c r="F37" s="11"/>
      <c r="G37" s="11"/>
      <c r="H37" s="11" t="str">
        <f>IF(OR(F37="",G37=""),"",INDEX(Matrix!$C$5:$H$10,MATCH('Risk Assessment'!G37,Matrix!$C$5:$C$10,0),MATCH('Risk Assessment'!F37,Matrix!$C$5:$H$5,0)))</f>
        <v/>
      </c>
      <c r="I37" s="22"/>
      <c r="J37" s="11"/>
      <c r="K37" s="11"/>
      <c r="L37" s="11" t="str">
        <f>IF(OR(J37="",K37=""),"",INDEX(Matrix!$C$5:$H$10,MATCH('Risk Assessment'!K37,Matrix!$C$5:$C$10,0),MATCH('Risk Assessment'!J37,Matrix!$C$5:$H$5,0)))</f>
        <v/>
      </c>
      <c r="M37" s="12"/>
    </row>
    <row r="38" spans="2:13" x14ac:dyDescent="0.25">
      <c r="B38" s="19">
        <v>31</v>
      </c>
      <c r="C38" s="56"/>
      <c r="D38" s="10"/>
      <c r="E38" s="10"/>
      <c r="F38" s="11"/>
      <c r="G38" s="11"/>
      <c r="H38" s="11" t="str">
        <f>IF(OR(F38="",G38=""),"",INDEX(Matrix!$C$5:$H$10,MATCH('Risk Assessment'!G38,Matrix!$C$5:$C$10,0),MATCH('Risk Assessment'!F38,Matrix!$C$5:$H$5,0)))</f>
        <v/>
      </c>
      <c r="I38" s="22"/>
      <c r="J38" s="11"/>
      <c r="K38" s="11"/>
      <c r="L38" s="11" t="str">
        <f>IF(OR(J38="",K38=""),"",INDEX(Matrix!$C$5:$H$10,MATCH('Risk Assessment'!K38,Matrix!$C$5:$C$10,0),MATCH('Risk Assessment'!J38,Matrix!$C$5:$H$5,0)))</f>
        <v/>
      </c>
      <c r="M38" s="12"/>
    </row>
    <row r="39" spans="2:13" x14ac:dyDescent="0.25">
      <c r="B39" s="19">
        <v>32</v>
      </c>
      <c r="C39" s="56"/>
      <c r="D39" s="10"/>
      <c r="E39" s="10"/>
      <c r="F39" s="11"/>
      <c r="G39" s="11"/>
      <c r="H39" s="11" t="str">
        <f>IF(OR(F39="",G39=""),"",INDEX(Matrix!$C$5:$H$10,MATCH('Risk Assessment'!G39,Matrix!$C$5:$C$10,0),MATCH('Risk Assessment'!F39,Matrix!$C$5:$H$5,0)))</f>
        <v/>
      </c>
      <c r="I39" s="22"/>
      <c r="J39" s="11"/>
      <c r="K39" s="11"/>
      <c r="L39" s="11" t="str">
        <f>IF(OR(J39="",K39=""),"",INDEX(Matrix!$C$5:$H$10,MATCH('Risk Assessment'!K39,Matrix!$C$5:$C$10,0),MATCH('Risk Assessment'!J39,Matrix!$C$5:$H$5,0)))</f>
        <v/>
      </c>
      <c r="M39" s="12"/>
    </row>
    <row r="40" spans="2:13" ht="13.25" customHeight="1" x14ac:dyDescent="0.25">
      <c r="B40" s="19">
        <v>33</v>
      </c>
      <c r="C40" s="67" t="s">
        <v>26</v>
      </c>
      <c r="D40" s="10"/>
      <c r="E40" s="10"/>
      <c r="F40" s="11"/>
      <c r="G40" s="11"/>
      <c r="H40" s="11" t="str">
        <f>IF(OR(F40="",G40=""),"",INDEX(Matrix!$C$5:$H$10,MATCH('Risk Assessment'!G40,Matrix!$C$5:$C$10,0),MATCH('Risk Assessment'!F40,Matrix!$C$5:$H$5,0)))</f>
        <v/>
      </c>
      <c r="I40" s="22"/>
      <c r="J40" s="11"/>
      <c r="K40" s="11"/>
      <c r="L40" s="11" t="str">
        <f>IF(OR(J40="",K40=""),"",INDEX(Matrix!$C$5:$H$10,MATCH('Risk Assessment'!K40,Matrix!$C$5:$C$10,0),MATCH('Risk Assessment'!J40,Matrix!$C$5:$H$5,0)))</f>
        <v/>
      </c>
      <c r="M40" s="12"/>
    </row>
    <row r="41" spans="2:13" ht="13.25" customHeight="1" x14ac:dyDescent="0.25">
      <c r="B41" s="19">
        <v>34</v>
      </c>
      <c r="C41" s="68"/>
      <c r="D41" s="10"/>
      <c r="E41" s="10"/>
      <c r="F41" s="11"/>
      <c r="G41" s="11"/>
      <c r="H41" s="11" t="str">
        <f>IF(OR(F41="",G41=""),"",INDEX(Matrix!$C$5:$H$10,MATCH('Risk Assessment'!G41,Matrix!$C$5:$C$10,0),MATCH('Risk Assessment'!F41,Matrix!$C$5:$H$5,0)))</f>
        <v/>
      </c>
      <c r="I41" s="22"/>
      <c r="J41" s="11"/>
      <c r="K41" s="11"/>
      <c r="L41" s="11" t="str">
        <f>IF(OR(J41="",K41=""),"",INDEX(Matrix!$C$5:$H$10,MATCH('Risk Assessment'!K41,Matrix!$C$5:$C$10,0),MATCH('Risk Assessment'!J41,Matrix!$C$5:$H$5,0)))</f>
        <v/>
      </c>
      <c r="M41" s="12"/>
    </row>
    <row r="42" spans="2:13" ht="13.25" customHeight="1" x14ac:dyDescent="0.25">
      <c r="B42" s="19">
        <v>35</v>
      </c>
      <c r="C42" s="68"/>
      <c r="D42" s="10"/>
      <c r="E42" s="10"/>
      <c r="F42" s="11"/>
      <c r="G42" s="11"/>
      <c r="H42" s="11" t="str">
        <f>IF(OR(F42="",G42=""),"",INDEX(Matrix!$C$5:$H$10,MATCH('Risk Assessment'!G42,Matrix!$C$5:$C$10,0),MATCH('Risk Assessment'!F42,Matrix!$C$5:$H$5,0)))</f>
        <v/>
      </c>
      <c r="I42" s="22"/>
      <c r="J42" s="11"/>
      <c r="K42" s="11"/>
      <c r="L42" s="11" t="str">
        <f>IF(OR(J42="",K42=""),"",INDEX(Matrix!$C$5:$H$10,MATCH('Risk Assessment'!K42,Matrix!$C$5:$C$10,0),MATCH('Risk Assessment'!J42,Matrix!$C$5:$H$5,0)))</f>
        <v/>
      </c>
      <c r="M42" s="12"/>
    </row>
    <row r="43" spans="2:13" ht="13.25" customHeight="1" x14ac:dyDescent="0.25">
      <c r="B43" s="19">
        <v>36</v>
      </c>
      <c r="C43" s="68"/>
      <c r="D43" s="10"/>
      <c r="E43" s="10"/>
      <c r="F43" s="11"/>
      <c r="G43" s="11"/>
      <c r="H43" s="11" t="str">
        <f>IF(OR(F43="",G43=""),"",INDEX(Matrix!$C$5:$H$10,MATCH('Risk Assessment'!G43,Matrix!$C$5:$C$10,0),MATCH('Risk Assessment'!F43,Matrix!$C$5:$H$5,0)))</f>
        <v/>
      </c>
      <c r="I43" s="22"/>
      <c r="J43" s="11"/>
      <c r="K43" s="11"/>
      <c r="L43" s="11" t="str">
        <f>IF(OR(J43="",K43=""),"",INDEX(Matrix!$C$5:$H$10,MATCH('Risk Assessment'!K43,Matrix!$C$5:$C$10,0),MATCH('Risk Assessment'!J43,Matrix!$C$5:$H$5,0)))</f>
        <v/>
      </c>
      <c r="M43" s="12"/>
    </row>
    <row r="44" spans="2:13" ht="13.25" customHeight="1" x14ac:dyDescent="0.25">
      <c r="B44" s="19">
        <v>37</v>
      </c>
      <c r="C44" s="72" t="s">
        <v>41</v>
      </c>
      <c r="D44" s="10"/>
      <c r="E44" s="10"/>
      <c r="F44" s="11"/>
      <c r="G44" s="11"/>
      <c r="H44" s="11"/>
      <c r="I44" s="22"/>
      <c r="J44" s="11"/>
      <c r="K44" s="11"/>
      <c r="L44" s="11"/>
      <c r="M44" s="12"/>
    </row>
    <row r="45" spans="2:13" ht="13.25" customHeight="1" x14ac:dyDescent="0.25">
      <c r="B45" s="19">
        <v>38</v>
      </c>
      <c r="C45" s="72"/>
      <c r="D45" s="10"/>
      <c r="E45" s="10"/>
      <c r="F45" s="11"/>
      <c r="G45" s="11"/>
      <c r="H45" s="11"/>
      <c r="I45" s="22"/>
      <c r="J45" s="11"/>
      <c r="K45" s="11"/>
      <c r="L45" s="11"/>
      <c r="M45" s="12"/>
    </row>
    <row r="46" spans="2:13" ht="13.25" customHeight="1" x14ac:dyDescent="0.25">
      <c r="B46" s="19">
        <v>39</v>
      </c>
      <c r="C46" s="72"/>
      <c r="D46" s="10"/>
      <c r="E46" s="10"/>
      <c r="F46" s="11"/>
      <c r="G46" s="11"/>
      <c r="H46" s="11"/>
      <c r="I46" s="22"/>
      <c r="J46" s="11"/>
      <c r="K46" s="11"/>
      <c r="L46" s="11"/>
      <c r="M46" s="12"/>
    </row>
    <row r="47" spans="2:13" ht="13.25" customHeight="1" x14ac:dyDescent="0.25">
      <c r="B47" s="19">
        <v>40</v>
      </c>
      <c r="C47" s="72"/>
      <c r="D47" s="10"/>
      <c r="E47" s="10"/>
      <c r="F47" s="11"/>
      <c r="G47" s="11"/>
      <c r="H47" s="11"/>
      <c r="I47" s="22"/>
      <c r="J47" s="11"/>
      <c r="K47" s="11"/>
      <c r="L47" s="11"/>
      <c r="M47" s="12"/>
    </row>
    <row r="48" spans="2:13" ht="13.25" customHeight="1" x14ac:dyDescent="0.25">
      <c r="B48" s="19">
        <v>41</v>
      </c>
      <c r="C48" s="73"/>
      <c r="D48" s="10"/>
      <c r="E48" s="10"/>
      <c r="F48" s="11"/>
      <c r="G48" s="11"/>
      <c r="H48" s="11"/>
      <c r="I48" s="22"/>
      <c r="J48" s="11"/>
      <c r="K48" s="11"/>
      <c r="L48" s="11"/>
      <c r="M48" s="12"/>
    </row>
    <row r="49" spans="2:13" ht="13.25" customHeight="1" x14ac:dyDescent="0.25">
      <c r="B49" s="19">
        <v>42</v>
      </c>
      <c r="C49" s="69" t="s">
        <v>42</v>
      </c>
      <c r="D49" s="10"/>
      <c r="E49" s="10"/>
      <c r="F49" s="11"/>
      <c r="G49" s="11"/>
      <c r="H49" s="11"/>
      <c r="I49" s="22"/>
      <c r="J49" s="11"/>
      <c r="K49" s="11"/>
      <c r="L49" s="11"/>
      <c r="M49" s="12"/>
    </row>
    <row r="50" spans="2:13" ht="13.25" customHeight="1" x14ac:dyDescent="0.25">
      <c r="B50" s="19">
        <v>43</v>
      </c>
      <c r="C50" s="70"/>
      <c r="D50" s="10"/>
      <c r="E50" s="10"/>
      <c r="F50" s="11"/>
      <c r="G50" s="11"/>
      <c r="H50" s="11"/>
      <c r="I50" s="22"/>
      <c r="J50" s="11"/>
      <c r="K50" s="11"/>
      <c r="L50" s="11"/>
      <c r="M50" s="12"/>
    </row>
    <row r="51" spans="2:13" ht="13.25" customHeight="1" x14ac:dyDescent="0.25">
      <c r="B51" s="19">
        <v>44</v>
      </c>
      <c r="C51" s="70"/>
      <c r="D51" s="10"/>
      <c r="E51" s="10"/>
      <c r="F51" s="11"/>
      <c r="G51" s="11"/>
      <c r="H51" s="11"/>
      <c r="I51" s="22"/>
      <c r="J51" s="11"/>
      <c r="K51" s="11"/>
      <c r="L51" s="11"/>
      <c r="M51" s="12"/>
    </row>
    <row r="52" spans="2:13" ht="13.25" customHeight="1" x14ac:dyDescent="0.25">
      <c r="B52" s="19">
        <v>45</v>
      </c>
      <c r="C52" s="70"/>
      <c r="D52" s="10"/>
      <c r="E52" s="10"/>
      <c r="F52" s="11"/>
      <c r="G52" s="11"/>
      <c r="H52" s="11"/>
      <c r="I52" s="22"/>
      <c r="J52" s="11"/>
      <c r="K52" s="11"/>
      <c r="L52" s="11"/>
      <c r="M52" s="12"/>
    </row>
    <row r="53" spans="2:13" ht="13.25" customHeight="1" x14ac:dyDescent="0.25">
      <c r="B53" s="19">
        <v>46</v>
      </c>
      <c r="C53" s="70"/>
      <c r="D53" s="10"/>
      <c r="E53" s="10"/>
      <c r="F53" s="11"/>
      <c r="G53" s="11"/>
      <c r="H53" s="11"/>
      <c r="I53" s="22"/>
      <c r="J53" s="11"/>
      <c r="K53" s="11"/>
      <c r="L53" s="11"/>
      <c r="M53" s="12"/>
    </row>
    <row r="54" spans="2:13" ht="13.25" customHeight="1" x14ac:dyDescent="0.25">
      <c r="B54" s="19">
        <v>47</v>
      </c>
      <c r="C54" s="71"/>
      <c r="D54" s="10"/>
      <c r="E54" s="10"/>
      <c r="F54" s="11"/>
      <c r="G54" s="11"/>
      <c r="H54" s="11" t="str">
        <f>IF(OR(F54="",G54=""),"",INDEX(Matrix!$C$5:$H$10,MATCH('Risk Assessment'!G54,Matrix!$C$5:$C$10,0),MATCH('Risk Assessment'!F54,Matrix!$C$5:$H$5,0)))</f>
        <v/>
      </c>
      <c r="I54" s="22"/>
      <c r="J54" s="11"/>
      <c r="K54" s="11"/>
      <c r="L54" s="11" t="str">
        <f>IF(OR(J54="",K54=""),"",INDEX(Matrix!$C$5:$H$10,MATCH('Risk Assessment'!K54,Matrix!$C$5:$C$10,0),MATCH('Risk Assessment'!J54,Matrix!$C$5:$H$5,0)))</f>
        <v/>
      </c>
      <c r="M54" s="12"/>
    </row>
    <row r="55" spans="2:13" x14ac:dyDescent="0.25">
      <c r="B55" s="19">
        <v>48</v>
      </c>
      <c r="C55" s="57" t="s">
        <v>27</v>
      </c>
      <c r="D55" s="10"/>
      <c r="E55" s="10"/>
      <c r="F55" s="11"/>
      <c r="G55" s="11"/>
      <c r="H55" s="11" t="str">
        <f>IF(OR(F55="",G55=""),"",INDEX(Matrix!$C$5:$H$10,MATCH('Risk Assessment'!G55,Matrix!$C$5:$C$10,0),MATCH('Risk Assessment'!F55,Matrix!$C$5:$H$5,0)))</f>
        <v/>
      </c>
      <c r="I55" s="22"/>
      <c r="J55" s="11"/>
      <c r="K55" s="11"/>
      <c r="L55" s="11" t="str">
        <f>IF(OR(J55="",K55=""),"",INDEX(Matrix!$C$5:$H$10,MATCH('Risk Assessment'!K55,Matrix!$C$5:$C$10,0),MATCH('Risk Assessment'!J55,Matrix!$C$5:$H$5,0)))</f>
        <v/>
      </c>
      <c r="M55" s="12"/>
    </row>
    <row r="56" spans="2:13" x14ac:dyDescent="0.25">
      <c r="B56" s="19">
        <v>49</v>
      </c>
      <c r="C56" s="58"/>
      <c r="D56" s="10"/>
      <c r="E56" s="10"/>
      <c r="F56" s="11"/>
      <c r="G56" s="11"/>
      <c r="H56" s="11" t="str">
        <f>IF(OR(F56="",G56=""),"",INDEX(Matrix!$C$5:$H$10,MATCH('Risk Assessment'!G56,Matrix!$C$5:$C$10,0),MATCH('Risk Assessment'!F56,Matrix!$C$5:$H$5,0)))</f>
        <v/>
      </c>
      <c r="I56" s="22"/>
      <c r="J56" s="11"/>
      <c r="K56" s="11"/>
      <c r="L56" s="11" t="str">
        <f>IF(OR(J56="",K56=""),"",INDEX(Matrix!$C$5:$H$10,MATCH('Risk Assessment'!K56,Matrix!$C$5:$C$10,0),MATCH('Risk Assessment'!J56,Matrix!$C$5:$H$5,0)))</f>
        <v/>
      </c>
      <c r="M56" s="12"/>
    </row>
    <row r="57" spans="2:13" x14ac:dyDescent="0.25">
      <c r="B57" s="19">
        <v>50</v>
      </c>
      <c r="C57" s="58"/>
      <c r="D57" s="10"/>
      <c r="E57" s="10"/>
      <c r="F57" s="11"/>
      <c r="G57" s="11"/>
      <c r="H57" s="11" t="str">
        <f>IF(OR(F57="",G57=""),"",INDEX(Matrix!$C$5:$H$10,MATCH('Risk Assessment'!G57,Matrix!$C$5:$C$10,0),MATCH('Risk Assessment'!F57,Matrix!$C$5:$H$5,0)))</f>
        <v/>
      </c>
      <c r="I57" s="22"/>
      <c r="J57" s="11"/>
      <c r="K57" s="11"/>
      <c r="L57" s="11" t="str">
        <f>IF(OR(J57="",K57=""),"",INDEX(Matrix!$C$5:$H$10,MATCH('Risk Assessment'!K57,Matrix!$C$5:$C$10,0),MATCH('Risk Assessment'!J57,Matrix!$C$5:$H$5,0)))</f>
        <v/>
      </c>
      <c r="M57" s="12"/>
    </row>
    <row r="58" spans="2:13" ht="13" thickBot="1" x14ac:dyDescent="0.3">
      <c r="B58" s="19">
        <v>51</v>
      </c>
      <c r="C58" s="59"/>
      <c r="D58" s="13"/>
      <c r="E58" s="13"/>
      <c r="F58" s="14"/>
      <c r="G58" s="14"/>
      <c r="H58" s="14" t="str">
        <f>IF(OR(F58="",G58=""),"",INDEX(Matrix!$C$5:$H$10,MATCH('Risk Assessment'!G58,Matrix!$C$5:$C$10,0),MATCH('Risk Assessment'!F58,Matrix!$C$5:$H$5,0)))</f>
        <v/>
      </c>
      <c r="I58" s="23"/>
      <c r="J58" s="14"/>
      <c r="K58" s="14"/>
      <c r="L58" s="14" t="str">
        <f>IF(OR(J58="",K58=""),"",INDEX(Matrix!$C$5:$H$10,MATCH('Risk Assessment'!K58,Matrix!$C$5:$C$10,0),MATCH('Risk Assessment'!J58,Matrix!$C$5:$H$5,0)))</f>
        <v/>
      </c>
      <c r="M58" s="15"/>
    </row>
    <row r="59" spans="2:13" ht="15.75" customHeight="1" x14ac:dyDescent="0.25">
      <c r="C59" s="52" t="s">
        <v>28</v>
      </c>
      <c r="D59" s="48"/>
      <c r="E59" s="48"/>
      <c r="F59" s="49"/>
    </row>
    <row r="60" spans="2:13" ht="18" customHeight="1" x14ac:dyDescent="0.25">
      <c r="C60" s="53"/>
      <c r="D60" s="50"/>
      <c r="E60" s="50"/>
      <c r="F60" s="51"/>
    </row>
    <row r="61" spans="2:13" ht="21.75" customHeight="1" x14ac:dyDescent="0.25">
      <c r="C61" s="53"/>
      <c r="D61" s="50"/>
      <c r="E61" s="50"/>
      <c r="F61" s="51"/>
    </row>
    <row r="62" spans="2:13" ht="18" customHeight="1" x14ac:dyDescent="0.25">
      <c r="C62" s="53"/>
      <c r="D62" s="50"/>
      <c r="E62" s="50"/>
      <c r="F62" s="51"/>
    </row>
    <row r="63" spans="2:13" ht="15.75" customHeight="1" x14ac:dyDescent="0.25">
      <c r="C63" s="53"/>
      <c r="D63" s="50"/>
      <c r="E63" s="50"/>
      <c r="F63" s="51"/>
    </row>
    <row r="64" spans="2:13" ht="18" customHeight="1" thickBot="1" x14ac:dyDescent="0.3">
      <c r="C64" s="54"/>
      <c r="D64" s="46"/>
      <c r="E64" s="46"/>
      <c r="F64" s="47"/>
    </row>
    <row r="65" spans="4:5" x14ac:dyDescent="0.25">
      <c r="D65" s="17"/>
      <c r="E65" s="17"/>
    </row>
    <row r="66" spans="4:5" x14ac:dyDescent="0.25">
      <c r="D66" s="17"/>
      <c r="E66" s="17"/>
    </row>
    <row r="67" spans="4:5" x14ac:dyDescent="0.25">
      <c r="D67" s="17"/>
      <c r="E67" s="17"/>
    </row>
  </sheetData>
  <mergeCells count="21">
    <mergeCell ref="E1:M1"/>
    <mergeCell ref="C29:C36"/>
    <mergeCell ref="F3:G3"/>
    <mergeCell ref="H3:I3"/>
    <mergeCell ref="H4:I4"/>
    <mergeCell ref="H5:I5"/>
    <mergeCell ref="C59:C64"/>
    <mergeCell ref="C37:C39"/>
    <mergeCell ref="C55:C58"/>
    <mergeCell ref="C8:C16"/>
    <mergeCell ref="C17:C24"/>
    <mergeCell ref="C25:C28"/>
    <mergeCell ref="C40:C43"/>
    <mergeCell ref="C49:C54"/>
    <mergeCell ref="C44:C48"/>
    <mergeCell ref="D64:F64"/>
    <mergeCell ref="D59:F59"/>
    <mergeCell ref="D60:F60"/>
    <mergeCell ref="D61:F61"/>
    <mergeCell ref="D62:F62"/>
    <mergeCell ref="D63:F63"/>
  </mergeCells>
  <phoneticPr fontId="1" type="noConversion"/>
  <conditionalFormatting sqref="H8:H58">
    <cfRule type="containsText" dxfId="7" priority="5" stopIfTrue="1" operator="containsText" text="High">
      <formula>NOT(ISERROR(SEARCH("High",H8)))</formula>
    </cfRule>
    <cfRule type="containsText" dxfId="6" priority="6" stopIfTrue="1" operator="containsText" text="Low">
      <formula>NOT(ISERROR(SEARCH("Low",H8)))</formula>
    </cfRule>
    <cfRule type="containsText" dxfId="5" priority="7" stopIfTrue="1" operator="containsText" text="Moderate">
      <formula>NOT(ISERROR(SEARCH("Moderate",H8)))</formula>
    </cfRule>
    <cfRule type="containsText" dxfId="4" priority="8" stopIfTrue="1" operator="containsText" text="Extreme">
      <formula>NOT(ISERROR(SEARCH("Extreme",H8)))</formula>
    </cfRule>
  </conditionalFormatting>
  <conditionalFormatting sqref="L8:L58">
    <cfRule type="containsText" dxfId="3" priority="1" stopIfTrue="1" operator="containsText" text="High">
      <formula>NOT(ISERROR(SEARCH("High",L8)))</formula>
    </cfRule>
    <cfRule type="containsText" dxfId="2" priority="2" stopIfTrue="1" operator="containsText" text="Low">
      <formula>NOT(ISERROR(SEARCH("Low",L8)))</formula>
    </cfRule>
    <cfRule type="containsText" dxfId="1" priority="3" stopIfTrue="1" operator="containsText" text="Moderate">
      <formula>NOT(ISERROR(SEARCH("Moderate",L8)))</formula>
    </cfRule>
    <cfRule type="containsText" dxfId="0" priority="4" stopIfTrue="1" operator="containsText" text="Extreme">
      <formula>NOT(ISERROR(SEARCH("Extreme",L8)))</formula>
    </cfRule>
  </conditionalFormatting>
  <dataValidations disablePrompts="1" count="1">
    <dataValidation type="list" allowBlank="1" showInputMessage="1" showErrorMessage="1" sqref="M8:M58" xr:uid="{00000000-0002-0000-0000-000000000000}">
      <formula1>"Yes, No"</formula1>
    </dataValidation>
  </dataValidations>
  <printOptions horizontalCentered="1"/>
  <pageMargins left="0.39370078740157483" right="0.39370078740157483" top="0.94488188976377963" bottom="0.47244094488188981" header="0.35433070866141736" footer="0.19685039370078741"/>
  <pageSetup paperSize="9" scale="63" fitToHeight="7" orientation="landscape" r:id="rId1"/>
  <headerFooter>
    <oddHeader>&amp;RForm No: QAF-OFD-006
Rev: 1.2    
Rev Date: 16 July 2025
Approved by: JS
Page:&amp;P of &amp;N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1000000}">
          <x14:formula1>
            <xm:f>Matrix!$D$5:$H$5</xm:f>
          </x14:formula1>
          <xm:sqref>F8:F58 J8:J58</xm:sqref>
        </x14:dataValidation>
        <x14:dataValidation type="list" allowBlank="1" showInputMessage="1" showErrorMessage="1" xr:uid="{00000000-0002-0000-0000-000002000000}">
          <x14:formula1>
            <xm:f>Matrix!$C$6:$C$10</xm:f>
          </x14:formula1>
          <xm:sqref>G8:G58 K8:K58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H12"/>
  <sheetViews>
    <sheetView topLeftCell="A4" workbookViewId="0">
      <selection activeCell="G6" sqref="G6"/>
    </sheetView>
  </sheetViews>
  <sheetFormatPr defaultRowHeight="12.5" x14ac:dyDescent="0.25"/>
  <cols>
    <col min="3" max="3" width="13.90625" customWidth="1"/>
    <col min="4" max="8" width="11.90625" customWidth="1"/>
  </cols>
  <sheetData>
    <row r="5" spans="3:8" ht="39.9" customHeight="1" x14ac:dyDescent="0.25">
      <c r="C5" s="28" t="s">
        <v>29</v>
      </c>
      <c r="D5" s="40" t="s">
        <v>30</v>
      </c>
      <c r="E5" s="40" t="s">
        <v>19</v>
      </c>
      <c r="F5" s="40" t="s">
        <v>31</v>
      </c>
      <c r="G5" s="40" t="s">
        <v>17</v>
      </c>
      <c r="H5" s="41" t="s">
        <v>32</v>
      </c>
    </row>
    <row r="6" spans="3:8" ht="39.9" customHeight="1" x14ac:dyDescent="0.25">
      <c r="C6" s="42" t="s">
        <v>33</v>
      </c>
      <c r="D6" s="24" t="s">
        <v>34</v>
      </c>
      <c r="E6" s="25" t="s">
        <v>35</v>
      </c>
      <c r="F6" s="26" t="s">
        <v>36</v>
      </c>
      <c r="G6" s="26" t="s">
        <v>36</v>
      </c>
      <c r="H6" s="26" t="s">
        <v>36</v>
      </c>
    </row>
    <row r="7" spans="3:8" ht="39.9" customHeight="1" x14ac:dyDescent="0.25">
      <c r="C7" s="42" t="s">
        <v>37</v>
      </c>
      <c r="D7" s="24" t="s">
        <v>34</v>
      </c>
      <c r="E7" s="25" t="s">
        <v>35</v>
      </c>
      <c r="F7" s="25" t="s">
        <v>35</v>
      </c>
      <c r="G7" s="26" t="s">
        <v>36</v>
      </c>
      <c r="H7" s="26" t="s">
        <v>36</v>
      </c>
    </row>
    <row r="8" spans="3:8" ht="39.9" customHeight="1" x14ac:dyDescent="0.25">
      <c r="C8" s="42" t="s">
        <v>38</v>
      </c>
      <c r="D8" s="27" t="s">
        <v>39</v>
      </c>
      <c r="E8" s="24" t="s">
        <v>34</v>
      </c>
      <c r="F8" s="25" t="s">
        <v>35</v>
      </c>
      <c r="G8" s="25" t="s">
        <v>35</v>
      </c>
      <c r="H8" s="26" t="s">
        <v>36</v>
      </c>
    </row>
    <row r="9" spans="3:8" ht="39.9" customHeight="1" x14ac:dyDescent="0.25">
      <c r="C9" s="42" t="s">
        <v>18</v>
      </c>
      <c r="D9" s="27" t="s">
        <v>39</v>
      </c>
      <c r="E9" s="24" t="s">
        <v>34</v>
      </c>
      <c r="F9" s="24" t="s">
        <v>34</v>
      </c>
      <c r="G9" s="25" t="s">
        <v>35</v>
      </c>
      <c r="H9" s="25" t="s">
        <v>35</v>
      </c>
    </row>
    <row r="10" spans="3:8" ht="39.9" customHeight="1" x14ac:dyDescent="0.25">
      <c r="C10" s="42" t="s">
        <v>20</v>
      </c>
      <c r="D10" s="27" t="s">
        <v>39</v>
      </c>
      <c r="E10" s="27" t="s">
        <v>39</v>
      </c>
      <c r="F10" s="27" t="s">
        <v>40</v>
      </c>
      <c r="G10" s="24" t="s">
        <v>34</v>
      </c>
      <c r="H10" s="24" t="s">
        <v>34</v>
      </c>
    </row>
    <row r="11" spans="3:8" ht="39.9" customHeight="1" x14ac:dyDescent="0.25"/>
    <row r="12" spans="3:8" ht="39.9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bce8ac4ccba03aa8d18ed0fecde151ae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dcf45255c1f7f4fc739062be1414c49e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9E36CF-7BD2-4F5D-AD2D-8F89A4FB21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4B182-DAE8-4D5D-9F5C-79FD6DCFC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c7a5d-3c2b-4006-bea2-1d64bbf3eef5"/>
    <ds:schemaRef ds:uri="19a9c603-de84-45b6-98a5-b9226c3dc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C5555F-75A5-450E-A1FD-9E8B5B62278D}">
  <ds:schemaRefs>
    <ds:schemaRef ds:uri="http://schemas.microsoft.com/office/2006/metadata/properties"/>
    <ds:schemaRef ds:uri="http://schemas.microsoft.com/office/infopath/2007/PartnerControls"/>
    <ds:schemaRef ds:uri="dfac7a5d-3c2b-4006-bea2-1d64bbf3eef5"/>
    <ds:schemaRef ds:uri="19a9c603-de84-45b6-98a5-b9226c3dc5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Risk Assessment</vt:lpstr>
      <vt:lpstr>Matrix</vt:lpstr>
      <vt:lpstr>'Risk Assessment'!Print_Area</vt:lpstr>
      <vt:lpstr>'Risk Assessment'!Print_Titles</vt:lpstr>
      <vt:lpstr>Score</vt:lpstr>
    </vt:vector>
  </TitlesOfParts>
  <Manager>rajneesh.malhotra@oceanemarine.com</Manager>
  <Company>Oceane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Assessment</dc:title>
  <dc:subject/>
  <dc:creator>rajneesh.malhotra@oceanemarine.com</dc:creator>
  <cp:keywords/>
  <dc:description/>
  <cp:lastModifiedBy>Walim</cp:lastModifiedBy>
  <cp:revision/>
  <cp:lastPrinted>2025-06-16T08:06:40Z</cp:lastPrinted>
  <dcterms:created xsi:type="dcterms:W3CDTF">2004-02-18T07:49:38Z</dcterms:created>
  <dcterms:modified xsi:type="dcterms:W3CDTF">2025-08-06T10:20:53Z</dcterms:modified>
  <cp:category>QHSE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